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f6e91b979f0f8bf/Documents/"/>
    </mc:Choice>
  </mc:AlternateContent>
  <xr:revisionPtr revIDLastSave="260" documentId="8_{FDB2445E-CD33-4336-A6AF-789E64D87AD6}" xr6:coauthVersionLast="47" xr6:coauthVersionMax="47" xr10:uidLastSave="{8E2F7E3B-B1D5-4A59-8673-E1A8D305D178}"/>
  <bookViews>
    <workbookView xWindow="-108" yWindow="-108" windowWidth="23256" windowHeight="12456" xr2:uid="{F5337EEC-3D42-42A9-89FA-A2F2CE6EC6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T10" i="1" l="1"/>
  <c r="Q4" i="1"/>
  <c r="P5" i="1"/>
  <c r="P4" i="1"/>
</calcChain>
</file>

<file path=xl/sharedStrings.xml><?xml version="1.0" encoding="utf-8"?>
<sst xmlns="http://schemas.openxmlformats.org/spreadsheetml/2006/main" count="73" uniqueCount="15">
  <si>
    <t>Data size/Data Type</t>
  </si>
  <si>
    <t>Int</t>
  </si>
  <si>
    <t>Float</t>
  </si>
  <si>
    <t>Char</t>
  </si>
  <si>
    <t>String</t>
  </si>
  <si>
    <t>(Results in bytes)</t>
  </si>
  <si>
    <t>Qsort</t>
  </si>
  <si>
    <t>BubSort</t>
  </si>
  <si>
    <t>Merge</t>
  </si>
  <si>
    <t>(Results in ms.)</t>
  </si>
  <si>
    <t>Bubsort</t>
  </si>
  <si>
    <t>Size</t>
  </si>
  <si>
    <t>Bubble</t>
  </si>
  <si>
    <t>Quick</t>
  </si>
  <si>
    <t>Bogo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</si>
</sst>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3" fontId="0" fillId="0" borderId="1" xfId="0" applyNumberFormat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Bubble</a:t>
            </a:r>
            <a:r>
              <a:rPr lang="en-US" baseline="0"/>
              <a:t> Sort Memory Usage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Sheet1!$Q$9:$T$9</c:f>
              <c:strCache>
                <c:ptCount val="4"/>
                <c:pt idx="0">
                  <c:v>Int</c:v>
                </c:pt>
                <c:pt idx="1">
                  <c:v>Float</c:v>
                </c:pt>
                <c:pt idx="2">
                  <c:v>Char</c:v>
                </c:pt>
                <c:pt idx="3">
                  <c:v>String</c:v>
                </c:pt>
              </c:strCache>
            </c:strRef>
          </c:cat>
          <c:val>
            <c:numRef>
              <c:f>Sheet1!$Q$10:$T$10</c:f>
              <c:numCache>
                <c:formatCode>General</c:formatCode>
                <c:ptCount val="4"/>
                <c:pt idx="0">
                  <c:v>7680000</c:v>
                </c:pt>
                <c:pt idx="1">
                  <c:v>7680000</c:v>
                </c:pt>
                <c:pt idx="2">
                  <c:v>4736000</c:v>
                </c:pt>
                <c:pt idx="3">
                  <c:v>60480301.716009811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3C-418B-85ED-8BB40D682F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03923519"/>
        <c:axId val="1603910559"/>
      </c:barChart>
      <c:catAx>
        <c:axId val="16039235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Data</a:t>
                </a:r>
                <a:r>
                  <a:rPr lang="en-US" baseline="0"/>
                  <a:t> Type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3910559"/>
        <c:crosses val="autoZero"/>
        <c:auto val="1"/>
        <c:lblAlgn val="ctr"/>
        <c:lblOffset val="100"/>
        <c:noMultiLvlLbl val="0"/>
      </c:catAx>
      <c:valAx>
        <c:axId val="1603910559"/>
        <c:scaling>
          <c:orientation val="minMax"/>
          <c:max val="70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Memory</a:t>
                </a:r>
                <a:r>
                  <a:rPr lang="en-US" baseline="0"/>
                  <a:t> Usage (Bytes)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39235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Quick Sort Memory Usage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Sheet1!$Q$11:$T$11</c:f>
              <c:strCache>
                <c:ptCount val="4"/>
                <c:pt idx="0">
                  <c:v>Int</c:v>
                </c:pt>
                <c:pt idx="1">
                  <c:v>Float</c:v>
                </c:pt>
                <c:pt idx="2">
                  <c:v>Char</c:v>
                </c:pt>
                <c:pt idx="3">
                  <c:v>String</c:v>
                </c:pt>
              </c:strCache>
            </c:strRef>
          </c:cat>
          <c:val>
            <c:numRef>
              <c:f>Sheet1!$Q$12:$T$12</c:f>
              <c:numCache>
                <c:formatCode>General</c:formatCode>
                <c:ptCount val="4"/>
                <c:pt idx="0">
                  <c:v>4072704</c:v>
                </c:pt>
                <c:pt idx="1">
                  <c:v>4072704</c:v>
                </c:pt>
                <c:pt idx="2">
                  <c:v>1072704</c:v>
                </c:pt>
                <c:pt idx="3">
                  <c:v>32072704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8E-4E4C-804F-4D06214436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90027247"/>
        <c:axId val="1590028207"/>
      </c:barChart>
      <c:catAx>
        <c:axId val="15900272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Data</a:t>
                </a:r>
                <a:r>
                  <a:rPr lang="en-US" baseline="0"/>
                  <a:t> Type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0028207"/>
        <c:crosses val="autoZero"/>
        <c:auto val="1"/>
        <c:lblAlgn val="ctr"/>
        <c:lblOffset val="100"/>
        <c:noMultiLvlLbl val="0"/>
      </c:catAx>
      <c:valAx>
        <c:axId val="1590028207"/>
        <c:scaling>
          <c:orientation val="minMax"/>
          <c:max val="70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Memory</a:t>
                </a:r>
                <a:r>
                  <a:rPr lang="en-US" baseline="0"/>
                  <a:t> Usage (Bytes)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00272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Merge</a:t>
            </a:r>
            <a:r>
              <a:rPr lang="en-US" baseline="0"/>
              <a:t> Sort Memory Usage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Sheet1!$Q$13:$T$13</c:f>
              <c:strCache>
                <c:ptCount val="4"/>
                <c:pt idx="0">
                  <c:v>Int</c:v>
                </c:pt>
                <c:pt idx="1">
                  <c:v>Float</c:v>
                </c:pt>
                <c:pt idx="2">
                  <c:v>Char</c:v>
                </c:pt>
                <c:pt idx="3">
                  <c:v>String</c:v>
                </c:pt>
              </c:strCache>
            </c:strRef>
          </c:cat>
          <c:val>
            <c:numRef>
              <c:f>Sheet1!$Q$14:$T$14</c:f>
              <c:numCache>
                <c:formatCode>General</c:formatCode>
                <c:ptCount val="4"/>
                <c:pt idx="0">
                  <c:v>8073728</c:v>
                </c:pt>
                <c:pt idx="1">
                  <c:v>8073728</c:v>
                </c:pt>
                <c:pt idx="2">
                  <c:v>2073728</c:v>
                </c:pt>
                <c:pt idx="3">
                  <c:v>64073728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2B-44AE-8E06-12BA578D1E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79962447"/>
        <c:axId val="1879962927"/>
      </c:barChart>
      <c:catAx>
        <c:axId val="18799624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Data</a:t>
                </a:r>
                <a:r>
                  <a:rPr lang="en-US" baseline="0"/>
                  <a:t> Type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9962927"/>
        <c:crosses val="autoZero"/>
        <c:auto val="1"/>
        <c:lblAlgn val="ctr"/>
        <c:lblOffset val="100"/>
        <c:noMultiLvlLbl val="0"/>
      </c:catAx>
      <c:valAx>
        <c:axId val="1879962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Memory</a:t>
                </a:r>
                <a:r>
                  <a:rPr lang="en-US" baseline="0"/>
                  <a:t> Usage (Bytes)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99624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Quick,</a:t>
            </a:r>
            <a:r>
              <a:rPr lang="en-US" baseline="0"/>
              <a:t> Merge, and Bubble Sort </a:t>
            </a:r>
          </a:p>
          <a:p>
            <a:pPr>
              <a:defRPr/>
            </a:pPr>
            <a:r>
              <a:rPr lang="en-US" baseline="0"/>
              <a:t>Average Runtime Comparison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Sheet1!$Q$21</c:f>
              <c:strCache>
                <c:ptCount val="1"/>
                <c:pt idx="0">
                  <c:v>Merge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Sheet1!$P$22:$P$26</c:f>
              <c:numCache>
                <c:formatCode>General</c:formatCode>
                <c:ptCount val="5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1000000</c:v>
                </c:pt>
              </c:numCache>
            </c:numRef>
          </c:cat>
          <c:val>
            <c:numRef>
              <c:f>Sheet1!$Q$22:$Q$26</c:f>
              <c:numCache>
                <c:formatCode>General</c:formatCode>
                <c:ptCount val="5"/>
                <c:pt idx="0">
                  <c:v>0.1411</c:v>
                </c:pt>
                <c:pt idx="1">
                  <c:v>1.2</c:v>
                </c:pt>
                <c:pt idx="2">
                  <c:v>7.0069999999999997</c:v>
                </c:pt>
                <c:pt idx="3">
                  <c:v>56.57</c:v>
                </c:pt>
                <c:pt idx="4">
                  <c:v>683.072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90E-4BAA-A03A-8224BE9FE305}"/>
            </c:ext>
          </c:extLst>
        </c:ser>
        <c:ser>
          <c:idx val="2"/>
          <c:order val="1"/>
          <c:tx>
            <c:strRef>
              <c:f>Sheet1!$R$21</c:f>
              <c:strCache>
                <c:ptCount val="1"/>
                <c:pt idx="0">
                  <c:v>Bubble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Sheet1!$P$22:$P$26</c:f>
              <c:numCache>
                <c:formatCode>General</c:formatCode>
                <c:ptCount val="5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1000000</c:v>
                </c:pt>
              </c:numCache>
            </c:numRef>
          </c:cat>
          <c:val>
            <c:numRef>
              <c:f>Sheet1!$R$22:$R$26</c:f>
              <c:numCache>
                <c:formatCode>General</c:formatCode>
                <c:ptCount val="5"/>
                <c:pt idx="0" formatCode="#,##0">
                  <c:v>11</c:v>
                </c:pt>
                <c:pt idx="1">
                  <c:v>9</c:v>
                </c:pt>
                <c:pt idx="2">
                  <c:v>246</c:v>
                </c:pt>
                <c:pt idx="3">
                  <c:v>11082</c:v>
                </c:pt>
                <c:pt idx="4">
                  <c:v>954184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90E-4BAA-A03A-8224BE9FE305}"/>
            </c:ext>
          </c:extLst>
        </c:ser>
        <c:ser>
          <c:idx val="3"/>
          <c:order val="2"/>
          <c:tx>
            <c:strRef>
              <c:f>Sheet1!$S$21</c:f>
              <c:strCache>
                <c:ptCount val="1"/>
                <c:pt idx="0">
                  <c:v>Quick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Sheet1!$P$22:$P$26</c:f>
              <c:numCache>
                <c:formatCode>General</c:formatCode>
                <c:ptCount val="5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1000000</c:v>
                </c:pt>
              </c:numCache>
            </c:numRef>
          </c:cat>
          <c:val>
            <c:numRef>
              <c:f>Sheet1!$S$22:$S$26</c:f>
              <c:numCache>
                <c:formatCode>General</c:formatCode>
                <c:ptCount val="5"/>
                <c:pt idx="0">
                  <c:v>2.7300000000000001E-2</c:v>
                </c:pt>
                <c:pt idx="1">
                  <c:v>0.32400000000000001</c:v>
                </c:pt>
                <c:pt idx="2">
                  <c:v>6.367</c:v>
                </c:pt>
                <c:pt idx="3">
                  <c:v>59.015000000000001</c:v>
                </c:pt>
                <c:pt idx="4">
                  <c:v>463.50099999999998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90E-4BAA-A03A-8224BE9FE3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6669632"/>
        <c:axId val="1582714560"/>
      </c:lineChart>
      <c:catAx>
        <c:axId val="15866696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Input</a:t>
                </a:r>
                <a:r>
                  <a:rPr lang="en-US" baseline="0"/>
                  <a:t> Data Sizes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2714560"/>
        <c:crosses val="autoZero"/>
        <c:auto val="1"/>
        <c:lblAlgn val="ctr"/>
        <c:lblOffset val="100"/>
        <c:noMultiLvlLbl val="0"/>
      </c:catAx>
      <c:valAx>
        <c:axId val="1582714560"/>
        <c:scaling>
          <c:orientation val="minMax"/>
          <c:max val="2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</a:t>
                </a:r>
                <a:r>
                  <a:rPr lang="en-US" baseline="0"/>
                  <a:t> Runtime (Milliseconds)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6669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305924</xdr:colOff>
      <xdr:row>2</xdr:row>
      <xdr:rowOff>29130</xdr:rowOff>
    </xdr:from>
    <xdr:to>
      <xdr:col>29</xdr:col>
      <xdr:colOff>595071</xdr:colOff>
      <xdr:row>16</xdr:row>
      <xdr:rowOff>163735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645F500-A88A-44CF-9AA7-E27104A9F5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297303</xdr:colOff>
      <xdr:row>21</xdr:row>
      <xdr:rowOff>50584</xdr:rowOff>
    </xdr:from>
    <xdr:to>
      <xdr:col>29</xdr:col>
      <xdr:colOff>147047</xdr:colOff>
      <xdr:row>36</xdr:row>
      <xdr:rowOff>2737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0B160D1-16F0-45D2-5719-0BB9D16D66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30</xdr:col>
      <xdr:colOff>530869</xdr:colOff>
      <xdr:row>17</xdr:row>
      <xdr:rowOff>34929</xdr:rowOff>
    </xdr:from>
    <xdr:to>
      <xdr:col>38</xdr:col>
      <xdr:colOff>218982</xdr:colOff>
      <xdr:row>31</xdr:row>
      <xdr:rowOff>164291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FC4C864-60AD-F7F6-B96F-AECADD4F8A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173212</xdr:colOff>
      <xdr:row>38</xdr:row>
      <xdr:rowOff>93819</xdr:rowOff>
    </xdr:from>
    <xdr:to>
      <xdr:col>26</xdr:col>
      <xdr:colOff>306624</xdr:colOff>
      <xdr:row>55</xdr:row>
      <xdr:rowOff>100256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E63BD6-95A1-9F53-E1AE-3D2B2F31AD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F5855-FD06-413F-A058-C6E51B4A33AB}">
  <dimension ref="B2:T42"/>
  <sheetViews>
    <sheetView tabSelected="1" zoomScale="70" workbookViewId="0">
      <selection activeCell="O37" sqref="O37"/>
    </sheetView>
  </sheetViews>
  <sheetFormatPr defaultRowHeight="14.4" x14ac:dyDescent="0.3"/>
  <cols>
    <col min="3" max="3" width="17.44140625" customWidth="1"/>
    <col min="10" max="10" width="16.88671875" customWidth="1"/>
    <col min="17" max="17" width="12" bestFit="1" customWidth="1"/>
    <col min="20" max="20" width="11" bestFit="1" customWidth="1"/>
  </cols>
  <sheetData>
    <row r="2" spans="2:20" x14ac:dyDescent="0.3">
      <c r="B2" t="s">
        <v>6</v>
      </c>
      <c r="C2" s="1" t="s">
        <v>0</v>
      </c>
      <c r="D2" s="2" t="s">
        <v>1</v>
      </c>
      <c r="E2" s="2" t="s">
        <v>2</v>
      </c>
      <c r="F2" s="2" t="s">
        <v>3</v>
      </c>
      <c r="G2" s="2" t="s">
        <v>4</v>
      </c>
      <c r="I2" s="4" t="s">
        <v>7</v>
      </c>
      <c r="J2" s="1" t="s">
        <v>0</v>
      </c>
      <c r="K2" s="2" t="s">
        <v>1</v>
      </c>
      <c r="L2" s="2" t="s">
        <v>2</v>
      </c>
      <c r="M2" s="2" t="s">
        <v>3</v>
      </c>
      <c r="N2" s="2" t="s">
        <v>4</v>
      </c>
    </row>
    <row r="3" spans="2:20" x14ac:dyDescent="0.3">
      <c r="C3" s="3">
        <v>100</v>
      </c>
      <c r="D3" s="3">
        <v>73104</v>
      </c>
      <c r="E3" s="3">
        <v>73104</v>
      </c>
      <c r="F3" s="3">
        <v>72804</v>
      </c>
      <c r="G3" s="3">
        <v>75904</v>
      </c>
      <c r="J3" s="3">
        <v>100</v>
      </c>
      <c r="K3" s="3">
        <v>128000</v>
      </c>
      <c r="L3" s="3">
        <v>3840000</v>
      </c>
      <c r="M3" s="3">
        <v>3840000</v>
      </c>
      <c r="N3" s="3">
        <v>3840000</v>
      </c>
    </row>
    <row r="4" spans="2:20" x14ac:dyDescent="0.3">
      <c r="C4" s="3">
        <v>1000</v>
      </c>
      <c r="D4" s="3">
        <v>76704</v>
      </c>
      <c r="E4" s="3">
        <v>76704</v>
      </c>
      <c r="F4" s="3">
        <v>73704</v>
      </c>
      <c r="G4" s="3">
        <v>104704</v>
      </c>
      <c r="J4" s="3">
        <v>1000</v>
      </c>
      <c r="K4" s="3">
        <v>128000</v>
      </c>
      <c r="L4" s="3">
        <v>3840000</v>
      </c>
      <c r="M4" s="3">
        <v>3840000</v>
      </c>
      <c r="N4" s="3">
        <v>3840000</v>
      </c>
      <c r="P4" s="3">
        <f>4736000/F7</f>
        <v>4.4150110375275942</v>
      </c>
      <c r="Q4">
        <f>P5*G7</f>
        <v>60480301.716009811</v>
      </c>
    </row>
    <row r="5" spans="2:20" x14ac:dyDescent="0.3">
      <c r="C5" s="3">
        <v>10000</v>
      </c>
      <c r="D5" s="3">
        <v>112704</v>
      </c>
      <c r="E5" s="3">
        <v>112704</v>
      </c>
      <c r="F5" s="3">
        <v>82704</v>
      </c>
      <c r="G5" s="3">
        <v>392704</v>
      </c>
      <c r="J5" s="3">
        <v>10000</v>
      </c>
      <c r="K5" s="3">
        <v>0</v>
      </c>
      <c r="L5" s="3">
        <v>3840000</v>
      </c>
      <c r="M5" s="3">
        <v>3840000</v>
      </c>
      <c r="N5" s="3">
        <v>4352000</v>
      </c>
      <c r="P5">
        <f>K7/D7</f>
        <v>1.8857250612860645</v>
      </c>
    </row>
    <row r="6" spans="2:20" x14ac:dyDescent="0.3">
      <c r="C6" s="3">
        <v>100000</v>
      </c>
      <c r="D6" s="3">
        <v>472704</v>
      </c>
      <c r="E6" s="3">
        <v>472704</v>
      </c>
      <c r="F6" s="3">
        <v>172704</v>
      </c>
      <c r="G6" s="3">
        <v>3272704</v>
      </c>
      <c r="J6" s="3">
        <v>100000</v>
      </c>
      <c r="K6" s="3">
        <v>4224000</v>
      </c>
      <c r="L6" s="3">
        <v>4224000</v>
      </c>
      <c r="M6" s="3">
        <v>3840000</v>
      </c>
      <c r="N6" s="3">
        <v>10368000</v>
      </c>
    </row>
    <row r="7" spans="2:20" x14ac:dyDescent="0.3">
      <c r="C7" s="3">
        <v>1000000</v>
      </c>
      <c r="D7" s="3">
        <v>4072704</v>
      </c>
      <c r="E7" s="3">
        <v>4072704</v>
      </c>
      <c r="F7" s="3">
        <v>1072704</v>
      </c>
      <c r="G7" s="3">
        <v>32072704</v>
      </c>
      <c r="J7" s="3">
        <v>1000000</v>
      </c>
      <c r="K7" s="3">
        <v>7680000</v>
      </c>
      <c r="L7" s="3">
        <v>7680000</v>
      </c>
      <c r="M7" s="3">
        <v>4736000</v>
      </c>
      <c r="N7" s="3"/>
    </row>
    <row r="8" spans="2:20" x14ac:dyDescent="0.3">
      <c r="C8" t="s">
        <v>5</v>
      </c>
      <c r="J8" t="s">
        <v>5</v>
      </c>
    </row>
    <row r="9" spans="2:20" x14ac:dyDescent="0.3">
      <c r="Q9" s="2" t="s">
        <v>1</v>
      </c>
      <c r="R9" s="2" t="s">
        <v>2</v>
      </c>
      <c r="S9" s="2" t="s">
        <v>3</v>
      </c>
      <c r="T9" s="2" t="s">
        <v>4</v>
      </c>
    </row>
    <row r="10" spans="2:20" x14ac:dyDescent="0.3">
      <c r="B10" t="s">
        <v>8</v>
      </c>
      <c r="C10" s="1" t="s">
        <v>0</v>
      </c>
      <c r="D10" s="2" t="s">
        <v>1</v>
      </c>
      <c r="E10" s="2" t="s">
        <v>2</v>
      </c>
      <c r="F10" s="2" t="s">
        <v>3</v>
      </c>
      <c r="G10" s="2" t="s">
        <v>4</v>
      </c>
      <c r="I10" t="s">
        <v>10</v>
      </c>
      <c r="J10" s="1" t="s">
        <v>0</v>
      </c>
      <c r="K10" s="2" t="s">
        <v>1</v>
      </c>
      <c r="L10" s="2" t="s">
        <v>2</v>
      </c>
      <c r="M10" s="2" t="s">
        <v>3</v>
      </c>
      <c r="N10" s="2" t="s">
        <v>4</v>
      </c>
      <c r="Q10" s="3">
        <v>7680000</v>
      </c>
      <c r="R10" s="3">
        <v>7680000</v>
      </c>
      <c r="S10" s="3">
        <v>4736000</v>
      </c>
      <c r="T10" s="1">
        <f>P5*G7</f>
        <v>60480301.716009811</v>
      </c>
    </row>
    <row r="11" spans="2:20" x14ac:dyDescent="0.3">
      <c r="C11" s="3">
        <v>100</v>
      </c>
      <c r="D11" s="5">
        <v>74528</v>
      </c>
      <c r="E11" s="3">
        <v>74528</v>
      </c>
      <c r="F11" s="3">
        <v>73878</v>
      </c>
      <c r="G11" s="3">
        <v>80128</v>
      </c>
      <c r="J11" s="3">
        <v>100</v>
      </c>
      <c r="K11" s="5">
        <v>11</v>
      </c>
      <c r="L11" s="3">
        <v>55</v>
      </c>
      <c r="M11" s="3">
        <v>70</v>
      </c>
      <c r="N11" s="3">
        <v>10</v>
      </c>
      <c r="Q11" s="2" t="s">
        <v>1</v>
      </c>
      <c r="R11" s="2" t="s">
        <v>2</v>
      </c>
      <c r="S11" s="2" t="s">
        <v>3</v>
      </c>
      <c r="T11" s="2" t="s">
        <v>4</v>
      </c>
    </row>
    <row r="12" spans="2:20" x14ac:dyDescent="0.3">
      <c r="C12" s="3">
        <v>1000</v>
      </c>
      <c r="D12" s="3">
        <v>81728</v>
      </c>
      <c r="E12" s="3">
        <v>81728</v>
      </c>
      <c r="F12" s="3">
        <v>75728</v>
      </c>
      <c r="G12" s="3">
        <v>137728</v>
      </c>
      <c r="J12" s="3">
        <v>1000</v>
      </c>
      <c r="K12" s="3">
        <v>9</v>
      </c>
      <c r="L12" s="3">
        <v>13</v>
      </c>
      <c r="M12" s="3">
        <v>84</v>
      </c>
      <c r="N12" s="3">
        <v>94</v>
      </c>
      <c r="Q12" s="3">
        <v>4072704</v>
      </c>
      <c r="R12" s="3">
        <v>4072704</v>
      </c>
      <c r="S12" s="3">
        <v>1072704</v>
      </c>
      <c r="T12" s="3">
        <v>32072704</v>
      </c>
    </row>
    <row r="13" spans="2:20" x14ac:dyDescent="0.3">
      <c r="C13" s="3">
        <v>10000</v>
      </c>
      <c r="D13" s="3">
        <v>153728</v>
      </c>
      <c r="E13" s="3">
        <v>153728</v>
      </c>
      <c r="F13" s="3">
        <v>93728</v>
      </c>
      <c r="G13" s="3">
        <v>713728</v>
      </c>
      <c r="J13" s="3">
        <v>10000</v>
      </c>
      <c r="K13" s="3">
        <v>246</v>
      </c>
      <c r="L13" s="3">
        <v>196</v>
      </c>
      <c r="M13" s="3">
        <v>189</v>
      </c>
      <c r="N13" s="3">
        <v>460</v>
      </c>
      <c r="Q13" s="2" t="s">
        <v>1</v>
      </c>
      <c r="R13" s="2" t="s">
        <v>2</v>
      </c>
      <c r="S13" s="2" t="s">
        <v>3</v>
      </c>
      <c r="T13" s="2" t="s">
        <v>4</v>
      </c>
    </row>
    <row r="14" spans="2:20" x14ac:dyDescent="0.3">
      <c r="C14" s="3">
        <v>100000</v>
      </c>
      <c r="D14" s="3">
        <v>873728</v>
      </c>
      <c r="E14" s="3">
        <v>873728</v>
      </c>
      <c r="F14" s="3">
        <v>273728</v>
      </c>
      <c r="G14" s="3">
        <v>6473728</v>
      </c>
      <c r="J14" s="3">
        <v>100000</v>
      </c>
      <c r="K14" s="3">
        <v>11082</v>
      </c>
      <c r="L14" s="3">
        <v>11249</v>
      </c>
      <c r="M14" s="3">
        <v>12297</v>
      </c>
      <c r="N14" s="3">
        <v>26101</v>
      </c>
      <c r="Q14" s="3">
        <v>8073728</v>
      </c>
      <c r="R14" s="3">
        <v>8073728</v>
      </c>
      <c r="S14" s="3">
        <v>2073728</v>
      </c>
      <c r="T14" s="3">
        <v>64073728</v>
      </c>
    </row>
    <row r="15" spans="2:20" x14ac:dyDescent="0.3">
      <c r="C15" s="3">
        <v>1000000</v>
      </c>
      <c r="D15" s="3">
        <v>8073728</v>
      </c>
      <c r="E15" s="3">
        <v>8073728</v>
      </c>
      <c r="F15" s="3">
        <v>2073728</v>
      </c>
      <c r="G15" s="3">
        <v>64073728</v>
      </c>
      <c r="J15" s="3">
        <v>1000000</v>
      </c>
      <c r="K15" s="3">
        <v>954184</v>
      </c>
      <c r="L15" s="3">
        <v>1011231</v>
      </c>
      <c r="M15" s="3">
        <v>976521</v>
      </c>
      <c r="N15" s="3"/>
      <c r="Q15" s="2"/>
      <c r="R15" s="2"/>
      <c r="S15" s="2"/>
      <c r="T15" s="2"/>
    </row>
    <row r="16" spans="2:20" x14ac:dyDescent="0.3">
      <c r="C16" t="s">
        <v>5</v>
      </c>
      <c r="J16" t="s">
        <v>9</v>
      </c>
    </row>
    <row r="18" spans="2:19" x14ac:dyDescent="0.3">
      <c r="B18" t="s">
        <v>6</v>
      </c>
      <c r="C18" s="1" t="s">
        <v>0</v>
      </c>
      <c r="D18" s="2" t="s">
        <v>1</v>
      </c>
      <c r="E18" s="2" t="s">
        <v>2</v>
      </c>
      <c r="F18" s="2" t="s">
        <v>3</v>
      </c>
      <c r="G18" s="2" t="s">
        <v>4</v>
      </c>
      <c r="I18" t="s">
        <v>8</v>
      </c>
      <c r="J18" s="1" t="s">
        <v>0</v>
      </c>
      <c r="K18" s="2" t="s">
        <v>1</v>
      </c>
      <c r="L18" s="2" t="s">
        <v>2</v>
      </c>
      <c r="M18" s="2" t="s">
        <v>3</v>
      </c>
      <c r="N18" s="2" t="s">
        <v>4</v>
      </c>
    </row>
    <row r="19" spans="2:19" x14ac:dyDescent="0.3">
      <c r="C19" s="3">
        <v>100</v>
      </c>
      <c r="D19" s="3">
        <v>2.7300000000000001E-2</v>
      </c>
      <c r="E19" s="3">
        <v>1.9800000000000002E-2</v>
      </c>
      <c r="F19" s="3">
        <v>2.06E-2</v>
      </c>
      <c r="G19" s="3">
        <v>2.1999999999999999E-2</v>
      </c>
      <c r="J19" s="3">
        <v>100</v>
      </c>
      <c r="K19" s="3">
        <v>0.1411</v>
      </c>
      <c r="L19" s="3">
        <v>0.1885</v>
      </c>
      <c r="M19" s="3">
        <v>7.7899999999999997E-2</v>
      </c>
      <c r="N19" s="3">
        <v>3.93</v>
      </c>
    </row>
    <row r="20" spans="2:19" x14ac:dyDescent="0.3">
      <c r="C20" s="3">
        <v>1000</v>
      </c>
      <c r="D20" s="3">
        <v>0.32400000000000001</v>
      </c>
      <c r="E20" s="3">
        <v>0.35299999999999998</v>
      </c>
      <c r="F20" s="3">
        <v>0.35299999999999998</v>
      </c>
      <c r="G20" s="3">
        <v>0.46</v>
      </c>
      <c r="J20" s="3">
        <v>1000</v>
      </c>
      <c r="K20" s="3">
        <v>1.2</v>
      </c>
      <c r="L20" s="3">
        <v>1.4696</v>
      </c>
      <c r="M20" s="3">
        <v>0.51300000000000001</v>
      </c>
      <c r="N20" s="3">
        <v>15.949</v>
      </c>
    </row>
    <row r="21" spans="2:19" x14ac:dyDescent="0.3">
      <c r="C21" s="3">
        <v>10000</v>
      </c>
      <c r="D21" s="3">
        <v>6.367</v>
      </c>
      <c r="E21" s="3">
        <v>3.9740000000000002</v>
      </c>
      <c r="F21" s="3">
        <v>4.0819999999999999</v>
      </c>
      <c r="G21" s="3">
        <v>3.96</v>
      </c>
      <c r="J21" s="3">
        <v>10000</v>
      </c>
      <c r="K21" s="3">
        <v>7.0069999999999997</v>
      </c>
      <c r="L21" s="3">
        <v>14.721500000000001</v>
      </c>
      <c r="M21" s="3">
        <v>5.4029999999999996</v>
      </c>
      <c r="N21" s="3">
        <v>157.005</v>
      </c>
      <c r="P21" s="1" t="s">
        <v>11</v>
      </c>
      <c r="Q21" s="1" t="s">
        <v>8</v>
      </c>
      <c r="R21" s="1" t="s">
        <v>12</v>
      </c>
      <c r="S21" s="1" t="s">
        <v>13</v>
      </c>
    </row>
    <row r="22" spans="2:19" x14ac:dyDescent="0.3">
      <c r="C22" s="3">
        <v>100000</v>
      </c>
      <c r="D22" s="3">
        <v>59.015000000000001</v>
      </c>
      <c r="E22" s="3">
        <v>51.58</v>
      </c>
      <c r="F22" s="3">
        <v>54.38</v>
      </c>
      <c r="G22" s="3">
        <v>51.226999999999997</v>
      </c>
      <c r="J22" s="3">
        <v>100000</v>
      </c>
      <c r="K22" s="3">
        <v>56.57</v>
      </c>
      <c r="L22" s="3">
        <v>70.123000000000005</v>
      </c>
      <c r="M22" s="3">
        <v>46.906999999999996</v>
      </c>
      <c r="N22" s="3">
        <v>1504.75</v>
      </c>
      <c r="P22" s="6">
        <v>100</v>
      </c>
      <c r="Q22" s="3">
        <v>0.1411</v>
      </c>
      <c r="R22" s="5">
        <v>11</v>
      </c>
      <c r="S22" s="3">
        <v>2.7300000000000001E-2</v>
      </c>
    </row>
    <row r="23" spans="2:19" x14ac:dyDescent="0.3">
      <c r="C23" s="3">
        <v>1000000</v>
      </c>
      <c r="D23" s="3">
        <v>463.50099999999998</v>
      </c>
      <c r="E23" s="3">
        <v>447.375</v>
      </c>
      <c r="F23" s="3">
        <v>478.58100000000002</v>
      </c>
      <c r="G23" s="3">
        <v>496.89699999999999</v>
      </c>
      <c r="J23" s="3">
        <v>1000000</v>
      </c>
      <c r="K23" s="3">
        <v>683.072</v>
      </c>
      <c r="L23" s="3">
        <v>735.226</v>
      </c>
      <c r="M23" s="3">
        <v>511.41500000000002</v>
      </c>
      <c r="N23" s="3">
        <v>16327.1</v>
      </c>
      <c r="P23" s="6">
        <v>1000</v>
      </c>
      <c r="Q23" s="3">
        <v>1.2</v>
      </c>
      <c r="R23" s="3">
        <v>9</v>
      </c>
      <c r="S23" s="3">
        <v>0.32400000000000001</v>
      </c>
    </row>
    <row r="24" spans="2:19" x14ac:dyDescent="0.3">
      <c r="C24" t="s">
        <v>9</v>
      </c>
      <c r="J24" t="s">
        <v>9</v>
      </c>
      <c r="P24" s="1">
        <v>10000</v>
      </c>
      <c r="Q24" s="3">
        <v>7.0069999999999997</v>
      </c>
      <c r="R24" s="3">
        <v>246</v>
      </c>
      <c r="S24" s="3">
        <v>6.367</v>
      </c>
    </row>
    <row r="25" spans="2:19" x14ac:dyDescent="0.3">
      <c r="P25" s="1">
        <v>100000</v>
      </c>
      <c r="Q25" s="3">
        <v>56.57</v>
      </c>
      <c r="R25" s="3">
        <v>11082</v>
      </c>
      <c r="S25" s="3">
        <v>59.015000000000001</v>
      </c>
    </row>
    <row r="26" spans="2:19" x14ac:dyDescent="0.3">
      <c r="B26" t="s">
        <v>14</v>
      </c>
      <c r="C26" s="1" t="s">
        <v>0</v>
      </c>
      <c r="D26" s="2" t="s">
        <v>1</v>
      </c>
      <c r="E26" s="2" t="s">
        <v>2</v>
      </c>
      <c r="F26" s="2" t="s">
        <v>3</v>
      </c>
      <c r="G26" s="2" t="s">
        <v>4</v>
      </c>
      <c r="I26" t="s">
        <v>14</v>
      </c>
      <c r="J26" s="1" t="s">
        <v>0</v>
      </c>
      <c r="K26" s="2" t="s">
        <v>1</v>
      </c>
      <c r="L26" s="2" t="s">
        <v>2</v>
      </c>
      <c r="M26" s="2" t="s">
        <v>3</v>
      </c>
      <c r="N26" s="2" t="s">
        <v>4</v>
      </c>
      <c r="P26" s="1">
        <v>1000000</v>
      </c>
      <c r="Q26" s="3">
        <v>683.072</v>
      </c>
      <c r="R26" s="3">
        <v>954184</v>
      </c>
      <c r="S26" s="3">
        <v>463.50099999999998</v>
      </c>
    </row>
    <row r="27" spans="2:19" x14ac:dyDescent="0.3">
      <c r="C27" s="3">
        <v>1</v>
      </c>
      <c r="D27" s="3">
        <v>0</v>
      </c>
      <c r="E27" s="3">
        <v>0</v>
      </c>
      <c r="F27" s="3">
        <v>0</v>
      </c>
      <c r="G27" s="3">
        <v>0</v>
      </c>
      <c r="J27" s="3">
        <v>3</v>
      </c>
      <c r="K27" s="3">
        <v>77860</v>
      </c>
      <c r="L27" s="3">
        <v>77860</v>
      </c>
      <c r="M27" s="3">
        <v>77833</v>
      </c>
      <c r="N27" s="3">
        <v>78112</v>
      </c>
    </row>
    <row r="28" spans="2:19" x14ac:dyDescent="0.3">
      <c r="C28" s="3">
        <v>2</v>
      </c>
      <c r="D28" s="3">
        <v>0</v>
      </c>
      <c r="E28" s="3">
        <v>0</v>
      </c>
      <c r="F28" s="3">
        <v>0</v>
      </c>
      <c r="G28" s="3">
        <v>0</v>
      </c>
      <c r="J28" s="3">
        <v>4</v>
      </c>
      <c r="K28" s="3">
        <v>77872</v>
      </c>
      <c r="L28" s="3">
        <v>77872</v>
      </c>
      <c r="M28" s="3">
        <v>77836</v>
      </c>
      <c r="N28" s="3">
        <v>78208</v>
      </c>
    </row>
    <row r="29" spans="2:19" x14ac:dyDescent="0.3">
      <c r="C29" s="3">
        <v>3</v>
      </c>
      <c r="D29" s="3">
        <v>0</v>
      </c>
      <c r="E29" s="3">
        <v>0</v>
      </c>
      <c r="F29" s="3">
        <v>0</v>
      </c>
      <c r="G29" s="3">
        <v>0</v>
      </c>
      <c r="J29" s="3">
        <v>5</v>
      </c>
      <c r="K29" s="3">
        <v>77884</v>
      </c>
      <c r="L29" s="3">
        <v>77884</v>
      </c>
      <c r="M29" s="3">
        <v>77839</v>
      </c>
      <c r="N29" s="3">
        <v>78304</v>
      </c>
    </row>
    <row r="30" spans="2:19" x14ac:dyDescent="0.3">
      <c r="C30" s="3">
        <v>4</v>
      </c>
      <c r="D30" s="3">
        <v>0</v>
      </c>
      <c r="E30" s="3">
        <v>0</v>
      </c>
      <c r="F30" s="3">
        <v>0</v>
      </c>
      <c r="G30" s="3">
        <v>0</v>
      </c>
      <c r="J30" t="s">
        <v>5</v>
      </c>
    </row>
    <row r="31" spans="2:19" x14ac:dyDescent="0.3">
      <c r="C31" s="6">
        <v>5</v>
      </c>
      <c r="D31" s="3">
        <v>0</v>
      </c>
      <c r="E31" s="3">
        <v>0</v>
      </c>
      <c r="F31" s="3">
        <v>0</v>
      </c>
      <c r="G31" s="3">
        <v>0</v>
      </c>
    </row>
    <row r="32" spans="2:19" x14ac:dyDescent="0.3">
      <c r="C32" s="6">
        <v>6</v>
      </c>
      <c r="D32" s="3">
        <v>0</v>
      </c>
      <c r="E32" s="3">
        <v>0</v>
      </c>
      <c r="F32" s="3">
        <v>0</v>
      </c>
      <c r="G32" s="3">
        <v>0</v>
      </c>
    </row>
    <row r="33" spans="3:7" x14ac:dyDescent="0.3">
      <c r="C33" s="6">
        <v>7</v>
      </c>
      <c r="D33" s="3">
        <v>6</v>
      </c>
      <c r="E33" s="3">
        <v>0</v>
      </c>
      <c r="F33" s="3">
        <v>1</v>
      </c>
      <c r="G33" s="3">
        <v>5</v>
      </c>
    </row>
    <row r="34" spans="3:7" x14ac:dyDescent="0.3">
      <c r="C34" s="6">
        <v>8</v>
      </c>
      <c r="D34" s="3">
        <v>35</v>
      </c>
      <c r="E34" s="3">
        <v>55</v>
      </c>
      <c r="F34" s="3">
        <v>12</v>
      </c>
      <c r="G34" s="3">
        <v>41</v>
      </c>
    </row>
    <row r="35" spans="3:7" x14ac:dyDescent="0.3">
      <c r="C35" s="6">
        <v>9</v>
      </c>
      <c r="D35" s="3">
        <v>223</v>
      </c>
      <c r="E35" s="3">
        <v>93</v>
      </c>
      <c r="F35" s="3">
        <v>191</v>
      </c>
      <c r="G35" s="3">
        <v>40</v>
      </c>
    </row>
    <row r="36" spans="3:7" x14ac:dyDescent="0.3">
      <c r="C36" s="6">
        <v>10</v>
      </c>
      <c r="D36" s="3">
        <v>9700</v>
      </c>
      <c r="E36" s="3">
        <v>2017</v>
      </c>
      <c r="F36" s="3">
        <v>1307</v>
      </c>
      <c r="G36" s="3">
        <v>3658</v>
      </c>
    </row>
    <row r="37" spans="3:7" x14ac:dyDescent="0.3">
      <c r="C37" s="6">
        <v>11</v>
      </c>
      <c r="D37" s="3">
        <v>7382</v>
      </c>
      <c r="E37" s="3">
        <v>27565</v>
      </c>
      <c r="F37" s="3">
        <v>13286</v>
      </c>
      <c r="G37" s="3">
        <v>101344</v>
      </c>
    </row>
    <row r="38" spans="3:7" x14ac:dyDescent="0.3">
      <c r="C38" s="6">
        <v>12</v>
      </c>
      <c r="D38" s="3">
        <v>222419</v>
      </c>
      <c r="E38" s="3">
        <v>1275431</v>
      </c>
      <c r="F38" s="3">
        <v>7873</v>
      </c>
      <c r="G38" s="3">
        <v>1524342</v>
      </c>
    </row>
    <row r="39" spans="3:7" x14ac:dyDescent="0.3">
      <c r="C39" s="7" t="s">
        <v>9</v>
      </c>
      <c r="D39" s="8"/>
      <c r="E39" s="8"/>
      <c r="F39" s="8"/>
      <c r="G39" s="8"/>
    </row>
    <row r="40" spans="3:7" x14ac:dyDescent="0.3">
      <c r="C40" s="8"/>
      <c r="D40" s="8"/>
      <c r="E40" s="8"/>
      <c r="F40" s="8"/>
      <c r="G40" s="8"/>
    </row>
    <row r="41" spans="3:7" x14ac:dyDescent="0.3">
      <c r="C41" s="8">
        <v>5</v>
      </c>
      <c r="D41" s="8"/>
      <c r="E41" s="8"/>
      <c r="F41" s="8"/>
      <c r="G41" s="8"/>
    </row>
    <row r="42" spans="3:7" x14ac:dyDescent="0.3">
      <c r="C42" s="7" t="s">
        <v>9</v>
      </c>
      <c r="D42" s="7"/>
      <c r="E42" s="7"/>
      <c r="F42" s="7"/>
      <c r="G42" s="7"/>
    </row>
  </sheetData>
  <pageMargins left="0.7" right="0.7" top="0.75" bottom="0.75" header="0.3" footer="0.3"/>
  <pageSetup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 Holloway</dc:creator>
  <cp:lastModifiedBy>Doc Holloway</cp:lastModifiedBy>
  <dcterms:created xsi:type="dcterms:W3CDTF">2026-04-28T22:35:35Z</dcterms:created>
  <dcterms:modified xsi:type="dcterms:W3CDTF">2026-05-06T04:15:18Z</dcterms:modified>
</cp:coreProperties>
</file>